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rp2350\arduino\prime_5-4_RISC-V\"/>
    </mc:Choice>
  </mc:AlternateContent>
  <xr:revisionPtr revIDLastSave="0" documentId="13_ncr:1_{E316E45C-CAD4-47FA-8C3A-304ED632BC7D}" xr6:coauthVersionLast="47" xr6:coauthVersionMax="47" xr10:uidLastSave="{00000000-0000-0000-0000-000000000000}"/>
  <bookViews>
    <workbookView xWindow="8340" yWindow="1200" windowWidth="19260" windowHeight="1120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G2" i="1"/>
  <c r="H13" i="1"/>
  <c r="H12" i="1"/>
  <c r="H11" i="1"/>
  <c r="H10" i="1"/>
  <c r="H9" i="1"/>
  <c r="H8" i="1"/>
  <c r="H7" i="1"/>
  <c r="H6" i="1"/>
  <c r="H5" i="1"/>
  <c r="H4" i="1"/>
  <c r="H3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<sst xmlns="http://schemas.openxmlformats.org/spreadsheetml/2006/main" count="16" uniqueCount="12">
  <si>
    <t>Frequency</t>
  </si>
  <si>
    <t>Core</t>
  </si>
  <si>
    <t>200 MHz</t>
  </si>
  <si>
    <t>150 MHz</t>
  </si>
  <si>
    <t>Cortex M33</t>
  </si>
  <si>
    <t>35h</t>
  </si>
  <si>
    <t>46h</t>
  </si>
  <si>
    <t>1day</t>
  </si>
  <si>
    <t>1d22</t>
  </si>
  <si>
    <t>150 to 200</t>
  </si>
  <si>
    <t>M33 vs RISC-V</t>
  </si>
  <si>
    <t>RISC-V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</si>
</sst>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right" wrapText="1"/>
    </xf>
    <xf numFmtId="3" fontId="1" fillId="0" borderId="0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2" fontId="0" fillId="0" borderId="0" xfId="0" applyNumberFormat="1"/>
    <xf numFmtId="17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1" sqref="K11"/>
    </sheetView>
  </sheetViews>
  <sheetFormatPr defaultRowHeight="15" x14ac:dyDescent="0.25"/>
  <cols>
    <col min="1" max="1" width="12.7109375" bestFit="1" customWidth="1"/>
    <col min="2" max="5" width="11.42578125" customWidth="1"/>
    <col min="6" max="6" width="4.42578125" customWidth="1"/>
    <col min="7" max="8" width="7.42578125" customWidth="1"/>
  </cols>
  <sheetData>
    <row r="1" spans="1:10" x14ac:dyDescent="0.25">
      <c r="A1" s="1" t="s">
        <v>0</v>
      </c>
      <c r="B1" s="7" t="s">
        <v>2</v>
      </c>
      <c r="C1" s="7" t="s">
        <v>2</v>
      </c>
      <c r="D1" s="7" t="s">
        <v>3</v>
      </c>
      <c r="E1" s="7" t="s">
        <v>3</v>
      </c>
      <c r="G1" s="4" t="s">
        <v>9</v>
      </c>
      <c r="H1" s="4"/>
      <c r="I1" s="4" t="s">
        <v>10</v>
      </c>
      <c r="J1" s="4"/>
    </row>
    <row r="2" spans="1:10" x14ac:dyDescent="0.25">
      <c r="A2" s="1" t="s">
        <v>1</v>
      </c>
      <c r="B2" s="7" t="s">
        <v>4</v>
      </c>
      <c r="C2" s="8" t="s">
        <v>11</v>
      </c>
      <c r="D2" s="7" t="s">
        <v>4</v>
      </c>
      <c r="E2" s="8" t="s">
        <v>11</v>
      </c>
      <c r="G2" s="9">
        <f>200/150</f>
        <v>1.3333333333333333</v>
      </c>
      <c r="H2" s="9">
        <f>200/150</f>
        <v>1.3333333333333333</v>
      </c>
    </row>
    <row r="3" spans="1:10" x14ac:dyDescent="0.25">
      <c r="A3" s="2">
        <v>100</v>
      </c>
      <c r="B3" s="2">
        <v>9.3999999999999994E-5</v>
      </c>
      <c r="C3" s="5">
        <v>3.9199999999999999E-4</v>
      </c>
      <c r="D3" s="2">
        <v>1.16E-4</v>
      </c>
      <c r="E3" s="5">
        <v>5.3499999999999999E-4</v>
      </c>
      <c r="G3" s="9">
        <f>D3/B3</f>
        <v>1.2340425531914894</v>
      </c>
      <c r="H3" s="9">
        <f t="shared" ref="H3:H13" si="0">E3/C3</f>
        <v>1.364795918367347</v>
      </c>
    </row>
    <row r="4" spans="1:10" x14ac:dyDescent="0.25">
      <c r="A4" s="3">
        <v>1000</v>
      </c>
      <c r="B4" s="2">
        <v>6.0300000000000002E-4</v>
      </c>
      <c r="C4" s="5">
        <v>4.0169999999999997E-3</v>
      </c>
      <c r="D4" s="2">
        <v>8.1599999999999999E-4</v>
      </c>
      <c r="E4" s="5">
        <v>5.3540000000000003E-3</v>
      </c>
      <c r="G4" s="9">
        <f t="shared" ref="G4:G13" si="1">D4/B4</f>
        <v>1.353233830845771</v>
      </c>
      <c r="H4" s="9">
        <f t="shared" si="0"/>
        <v>1.3328354493403038</v>
      </c>
    </row>
    <row r="5" spans="1:10" x14ac:dyDescent="0.25">
      <c r="A5" s="3">
        <v>10000</v>
      </c>
      <c r="B5" s="2">
        <v>7.4669999999999997E-3</v>
      </c>
      <c r="C5" s="5">
        <v>4.2152000000000002E-2</v>
      </c>
      <c r="D5" s="2">
        <v>9.5960000000000004E-3</v>
      </c>
      <c r="E5" s="5">
        <v>5.6225999999999998E-2</v>
      </c>
      <c r="G5" s="9">
        <f t="shared" si="1"/>
        <v>1.2851211999464311</v>
      </c>
      <c r="H5" s="9">
        <f t="shared" si="0"/>
        <v>1.3338868855570316</v>
      </c>
    </row>
    <row r="6" spans="1:10" x14ac:dyDescent="0.25">
      <c r="A6" s="3">
        <v>100000</v>
      </c>
      <c r="B6" s="2">
        <v>0.104639</v>
      </c>
      <c r="C6" s="5">
        <v>0.46503800000000001</v>
      </c>
      <c r="D6" s="2">
        <v>0.13619200000000001</v>
      </c>
      <c r="E6" s="5">
        <v>0.61990299999999998</v>
      </c>
      <c r="G6" s="9">
        <f t="shared" si="1"/>
        <v>1.3015414902665357</v>
      </c>
      <c r="H6" s="9">
        <f t="shared" si="0"/>
        <v>1.3330157965585607</v>
      </c>
    </row>
    <row r="7" spans="1:10" x14ac:dyDescent="0.25">
      <c r="A7" s="3">
        <v>1000000</v>
      </c>
      <c r="B7" s="2">
        <v>1.6919999999999999</v>
      </c>
      <c r="C7" s="5">
        <v>5.5839999999999996</v>
      </c>
      <c r="D7" s="2">
        <v>2.2189999999999999</v>
      </c>
      <c r="E7" s="5">
        <v>7.4480000000000004</v>
      </c>
      <c r="G7" s="9">
        <f t="shared" si="1"/>
        <v>1.311465721040189</v>
      </c>
      <c r="H7" s="9">
        <f t="shared" si="0"/>
        <v>1.3338108882521491</v>
      </c>
    </row>
    <row r="8" spans="1:10" x14ac:dyDescent="0.25">
      <c r="A8" s="3">
        <v>10000000</v>
      </c>
      <c r="B8" s="2">
        <v>32</v>
      </c>
      <c r="C8" s="5">
        <v>77</v>
      </c>
      <c r="D8" s="2">
        <v>42</v>
      </c>
      <c r="E8" s="5">
        <v>103</v>
      </c>
      <c r="G8" s="9">
        <f t="shared" si="1"/>
        <v>1.3125</v>
      </c>
      <c r="H8" s="9">
        <f t="shared" si="0"/>
        <v>1.3376623376623376</v>
      </c>
    </row>
    <row r="9" spans="1:10" x14ac:dyDescent="0.25">
      <c r="A9" s="3">
        <v>25000000</v>
      </c>
      <c r="B9" s="2">
        <v>107</v>
      </c>
      <c r="C9" s="5">
        <v>230</v>
      </c>
      <c r="D9" s="2">
        <v>141</v>
      </c>
      <c r="E9" s="5">
        <v>307</v>
      </c>
      <c r="G9" s="9">
        <f t="shared" si="1"/>
        <v>1.3177570093457944</v>
      </c>
      <c r="H9" s="9">
        <f t="shared" si="0"/>
        <v>1.3347826086956522</v>
      </c>
    </row>
    <row r="10" spans="1:10" x14ac:dyDescent="0.25">
      <c r="A10" s="3">
        <v>100000000</v>
      </c>
      <c r="B10" s="2">
        <v>680</v>
      </c>
      <c r="C10" s="5">
        <v>1274</v>
      </c>
      <c r="D10" s="2">
        <v>900</v>
      </c>
      <c r="E10" s="5">
        <v>1699</v>
      </c>
      <c r="G10" s="9">
        <f t="shared" si="1"/>
        <v>1.3235294117647058</v>
      </c>
      <c r="H10" s="9">
        <f t="shared" si="0"/>
        <v>1.3335949764521193</v>
      </c>
    </row>
    <row r="11" spans="1:10" x14ac:dyDescent="0.25">
      <c r="A11" s="3">
        <v>1000000000</v>
      </c>
      <c r="B11" s="2">
        <v>16655</v>
      </c>
      <c r="C11" s="6"/>
      <c r="D11" s="2">
        <v>16655</v>
      </c>
      <c r="E11" s="6"/>
      <c r="G11" s="9">
        <f t="shared" si="1"/>
        <v>1</v>
      </c>
      <c r="H11" s="9" t="e">
        <f t="shared" si="0"/>
        <v>#DIV/0!</v>
      </c>
    </row>
    <row r="12" spans="1:10" x14ac:dyDescent="0.25">
      <c r="A12" s="3">
        <v>2147483647</v>
      </c>
      <c r="B12" s="2">
        <v>48246</v>
      </c>
      <c r="C12" s="6"/>
      <c r="D12" s="2">
        <v>63536</v>
      </c>
      <c r="E12" s="5">
        <v>93247</v>
      </c>
      <c r="G12" s="9">
        <f t="shared" si="1"/>
        <v>1.3169174646602828</v>
      </c>
      <c r="H12" s="9" t="e">
        <f t="shared" si="0"/>
        <v>#DIV/0!</v>
      </c>
    </row>
    <row r="13" spans="1:10" x14ac:dyDescent="0.25">
      <c r="A13" s="3">
        <v>4294967295</v>
      </c>
      <c r="B13" s="2">
        <v>125061</v>
      </c>
      <c r="C13" s="6"/>
      <c r="D13" s="2">
        <v>165803</v>
      </c>
      <c r="E13" s="5">
        <v>237261</v>
      </c>
      <c r="G13" s="9">
        <f t="shared" si="1"/>
        <v>1.3257770208138429</v>
      </c>
      <c r="H13" s="9" t="e">
        <f t="shared" si="0"/>
        <v>#DIV/0!</v>
      </c>
    </row>
    <row r="14" spans="1:10" x14ac:dyDescent="0.25">
      <c r="A14" s="1"/>
      <c r="B14" s="7" t="s">
        <v>5</v>
      </c>
      <c r="C14" s="7"/>
      <c r="D14" s="7" t="s">
        <v>6</v>
      </c>
      <c r="E14" s="7"/>
    </row>
    <row r="15" spans="1:10" x14ac:dyDescent="0.25">
      <c r="A15" s="1"/>
      <c r="B15" s="7" t="s">
        <v>7</v>
      </c>
      <c r="C15" s="7"/>
      <c r="D15" s="7" t="s">
        <v>8</v>
      </c>
      <c r="E15" s="7"/>
    </row>
    <row r="16" spans="1:10" x14ac:dyDescent="0.25">
      <c r="A16" s="1"/>
      <c r="B16" s="1"/>
      <c r="C16" s="1"/>
      <c r="D16" s="10">
        <v>46311</v>
      </c>
      <c r="E16" s="1"/>
    </row>
    <row r="17" spans="1:5" x14ac:dyDescent="0.25">
      <c r="A17" s="1"/>
      <c r="B17" s="1"/>
      <c r="C17" s="1"/>
      <c r="D17" s="1"/>
      <c r="E17" s="1"/>
    </row>
  </sheetData>
  <mergeCells count="2">
    <mergeCell ref="G1:H1"/>
    <mergeCell ref="I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Matthias Kreier</cp:lastModifiedBy>
  <dcterms:created xsi:type="dcterms:W3CDTF">2015-06-05T18:19:34Z</dcterms:created>
  <dcterms:modified xsi:type="dcterms:W3CDTF">2026-10-16T16:32:05Z</dcterms:modified>
</cp:coreProperties>
</file>